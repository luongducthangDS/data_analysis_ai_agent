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_rep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details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'customers'!$A$1:$H$13</definedName>
    <definedName name="_xlnm._FilterDatabase" localSheetId="1" hidden="1">'products'!$A$1:$I$13</definedName>
    <definedName name="_xlnm._FilterDatabase" localSheetId="2" hidden="1">'sales_reps'!$A$1:$H$5</definedName>
    <definedName name="_xlnm._FilterDatabase" localSheetId="3" hidden="1">'orders'!$A$1:$H$31</definedName>
    <definedName name="_xlnm._FilterDatabase" localSheetId="4" hidden="1">'order_details'!$A$1:$G$33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375623"/>
      <sz val="9"/>
    </font>
    <font>
      <name val="Arial"/>
      <color rgb="007B6000"/>
      <sz val="9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/>
    </xf>
    <xf numFmtId="9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/>
    </xf>
    <xf numFmtId="3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3" fontId="7" fillId="4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  <col width="25" customWidth="1" min="7" max="7"/>
    <col width="12" customWidth="1" min="8" max="8"/>
  </cols>
  <sheetData>
    <row r="1" ht="2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join_date</t>
        </is>
      </c>
    </row>
    <row r="2">
      <c r="A2" s="2" t="inlineStr">
        <is>
          <t>C001</t>
        </is>
      </c>
      <c r="B2" s="2" t="inlineStr">
        <is>
          <t>Nguyễn Văn An</t>
        </is>
      </c>
      <c r="C2" s="2" t="inlineStr">
        <is>
          <t>Cá nhân</t>
        </is>
      </c>
      <c r="D2" s="2" t="inlineStr">
        <is>
          <t>Hà Nội</t>
        </is>
      </c>
      <c r="E2" s="2" t="inlineStr">
        <is>
          <t>Hà Nội</t>
        </is>
      </c>
      <c r="F2" s="2" t="inlineStr">
        <is>
          <t>0901234567</t>
        </is>
      </c>
      <c r="G2" s="2" t="inlineStr">
        <is>
          <t>an.nguyen@email.com</t>
        </is>
      </c>
      <c r="H2" s="2" t="inlineStr">
        <is>
          <t>2023-01-15</t>
        </is>
      </c>
    </row>
    <row r="3">
      <c r="A3" s="3" t="inlineStr">
        <is>
          <t>C002</t>
        </is>
      </c>
      <c r="B3" s="3" t="inlineStr">
        <is>
          <t>Lê Thị Bích</t>
        </is>
      </c>
      <c r="C3" s="3" t="inlineStr">
        <is>
          <t>Cá nhân</t>
        </is>
      </c>
      <c r="D3" s="3" t="inlineStr">
        <is>
          <t>TP.HCM</t>
        </is>
      </c>
      <c r="E3" s="3" t="inlineStr">
        <is>
          <t>TP.HCM</t>
        </is>
      </c>
      <c r="F3" s="3" t="inlineStr">
        <is>
          <t>0912345678</t>
        </is>
      </c>
      <c r="G3" s="3" t="inlineStr">
        <is>
          <t>bich.le@email.com</t>
        </is>
      </c>
      <c r="H3" s="3" t="inlineStr">
        <is>
          <t>2023-02-20</t>
        </is>
      </c>
    </row>
    <row r="4">
      <c r="A4" s="2" t="inlineStr">
        <is>
          <t>C003</t>
        </is>
      </c>
      <c r="B4" s="2" t="inlineStr">
        <is>
          <t>Công ty ABC</t>
        </is>
      </c>
      <c r="C4" s="2" t="inlineStr">
        <is>
          <t>Doanh nghiệp</t>
        </is>
      </c>
      <c r="D4" s="2" t="inlineStr">
        <is>
          <t>Đà Nẵng</t>
        </is>
      </c>
      <c r="E4" s="2" t="inlineStr">
        <is>
          <t>Đà Nẵng</t>
        </is>
      </c>
      <c r="F4" s="2" t="inlineStr">
        <is>
          <t>0236123456</t>
        </is>
      </c>
      <c r="G4" s="2" t="inlineStr">
        <is>
          <t>info@abc.com</t>
        </is>
      </c>
      <c r="H4" s="2" t="inlineStr">
        <is>
          <t>2023-03-10</t>
        </is>
      </c>
    </row>
    <row r="5">
      <c r="A5" s="3" t="inlineStr">
        <is>
          <t>C004</t>
        </is>
      </c>
      <c r="B5" s="3" t="inlineStr">
        <is>
          <t>Hoàng Thị Dung</t>
        </is>
      </c>
      <c r="C5" s="3" t="inlineStr">
        <is>
          <t>Cá nhân</t>
        </is>
      </c>
      <c r="D5" s="3" t="inlineStr">
        <is>
          <t>Cần Thơ</t>
        </is>
      </c>
      <c r="E5" s="3" t="inlineStr">
        <is>
          <t>Cần Thơ</t>
        </is>
      </c>
      <c r="F5" s="3" t="inlineStr">
        <is>
          <t>0923456789</t>
        </is>
      </c>
      <c r="G5" s="3" t="inlineStr">
        <is>
          <t>dung.hoang@email.com</t>
        </is>
      </c>
      <c r="H5" s="3" t="inlineStr">
        <is>
          <t>2023-04-05</t>
        </is>
      </c>
    </row>
    <row r="6">
      <c r="A6" s="2" t="inlineStr">
        <is>
          <t>C005</t>
        </is>
      </c>
      <c r="B6" s="2" t="inlineStr">
        <is>
          <t>Công ty XYZ</t>
        </is>
      </c>
      <c r="C6" s="2" t="inlineStr">
        <is>
          <t>Doanh nghiệp</t>
        </is>
      </c>
      <c r="D6" s="2" t="inlineStr">
        <is>
          <t>TP.HCM</t>
        </is>
      </c>
      <c r="E6" s="2" t="inlineStr">
        <is>
          <t>TP.HCM</t>
        </is>
      </c>
      <c r="F6" s="2" t="inlineStr">
        <is>
          <t>0283456789</t>
        </is>
      </c>
      <c r="G6" s="2" t="inlineStr">
        <is>
          <t>contact@xyz.com</t>
        </is>
      </c>
      <c r="H6" s="2" t="inlineStr">
        <is>
          <t>2023-05-12</t>
        </is>
      </c>
    </row>
    <row r="7">
      <c r="A7" s="3" t="inlineStr">
        <is>
          <t>C006</t>
        </is>
      </c>
      <c r="B7" s="3" t="inlineStr">
        <is>
          <t>Vũ Văn Em</t>
        </is>
      </c>
      <c r="C7" s="3" t="inlineStr">
        <is>
          <t>Cá nhân</t>
        </is>
      </c>
      <c r="D7" s="3" t="inlineStr">
        <is>
          <t>Hà Nội</t>
        </is>
      </c>
      <c r="E7" s="3" t="inlineStr">
        <is>
          <t>Hà Nội</t>
        </is>
      </c>
      <c r="F7" s="3" t="inlineStr">
        <is>
          <t>0934567890</t>
        </is>
      </c>
      <c r="G7" s="3" t="inlineStr">
        <is>
          <t>em.vu@email.com</t>
        </is>
      </c>
      <c r="H7" s="3" t="inlineStr">
        <is>
          <t>2023-06-18</t>
        </is>
      </c>
    </row>
    <row r="8">
      <c r="A8" s="2" t="inlineStr">
        <is>
          <t>C007</t>
        </is>
      </c>
      <c r="B8" s="2" t="inlineStr">
        <is>
          <t>Đặng Thị Fương</t>
        </is>
      </c>
      <c r="C8" s="2" t="inlineStr">
        <is>
          <t>Cá nhân</t>
        </is>
      </c>
      <c r="D8" s="2" t="inlineStr">
        <is>
          <t>Huế</t>
        </is>
      </c>
      <c r="E8" s="2" t="inlineStr">
        <is>
          <t>Huế</t>
        </is>
      </c>
      <c r="F8" s="2" t="inlineStr">
        <is>
          <t>0234567890</t>
        </is>
      </c>
      <c r="G8" s="2" t="inlineStr">
        <is>
          <t>fuong.dang@email.com</t>
        </is>
      </c>
      <c r="H8" s="2" t="inlineStr">
        <is>
          <t>2023-07-22</t>
        </is>
      </c>
    </row>
    <row r="9">
      <c r="A9" s="3" t="inlineStr">
        <is>
          <t>C008</t>
        </is>
      </c>
      <c r="B9" s="3" t="inlineStr">
        <is>
          <t>Bùi Văn Giang</t>
        </is>
      </c>
      <c r="C9" s="3" t="inlineStr">
        <is>
          <t>Cá nhân</t>
        </is>
      </c>
      <c r="D9" s="3" t="inlineStr">
        <is>
          <t>Hà Nội</t>
        </is>
      </c>
      <c r="E9" s="3" t="inlineStr">
        <is>
          <t>Hà Nội</t>
        </is>
      </c>
      <c r="F9" s="3" t="inlineStr">
        <is>
          <t>0945678901</t>
        </is>
      </c>
      <c r="G9" s="3" t="inlineStr">
        <is>
          <t>giang.bui@email.com</t>
        </is>
      </c>
      <c r="H9" s="3" t="inlineStr">
        <is>
          <t>2023-08-30</t>
        </is>
      </c>
    </row>
    <row r="10">
      <c r="A10" s="2" t="inlineStr">
        <is>
          <t>C009</t>
        </is>
      </c>
      <c r="B10" s="2" t="inlineStr">
        <is>
          <t>Lý Thị Hà</t>
        </is>
      </c>
      <c r="C10" s="2" t="inlineStr">
        <is>
          <t>Cá nhân</t>
        </is>
      </c>
      <c r="D10" s="2" t="inlineStr">
        <is>
          <t>TP.HCM</t>
        </is>
      </c>
      <c r="E10" s="2" t="inlineStr">
        <is>
          <t>TP.HCM</t>
        </is>
      </c>
      <c r="F10" s="2" t="inlineStr">
        <is>
          <t>0956789012</t>
        </is>
      </c>
      <c r="G10" s="2" t="inlineStr">
        <is>
          <t>ha.ly@email.com</t>
        </is>
      </c>
      <c r="H10" s="2" t="inlineStr">
        <is>
          <t>2023-09-14</t>
        </is>
      </c>
    </row>
    <row r="11">
      <c r="A11" s="3" t="inlineStr">
        <is>
          <t>C010</t>
        </is>
      </c>
      <c r="B11" s="3" t="inlineStr">
        <is>
          <t>Công ty DEF</t>
        </is>
      </c>
      <c r="C11" s="3" t="inlineStr">
        <is>
          <t>Doanh nghiệp</t>
        </is>
      </c>
      <c r="D11" s="3" t="inlineStr">
        <is>
          <t>TP.HCM</t>
        </is>
      </c>
      <c r="E11" s="3" t="inlineStr">
        <is>
          <t>TP.HCM</t>
        </is>
      </c>
      <c r="F11" s="3" t="inlineStr">
        <is>
          <t>0284567890</t>
        </is>
      </c>
      <c r="G11" s="3" t="inlineStr">
        <is>
          <t>sales@def.com</t>
        </is>
      </c>
      <c r="H11" s="3" t="inlineStr">
        <is>
          <t>2023-10-01</t>
        </is>
      </c>
    </row>
    <row r="12">
      <c r="A12" s="2" t="inlineStr">
        <is>
          <t>C011</t>
        </is>
      </c>
      <c r="B12" s="2" t="inlineStr">
        <is>
          <t>Phan Văn Inh</t>
        </is>
      </c>
      <c r="C12" s="2" t="inlineStr">
        <is>
          <t>Cá nhân</t>
        </is>
      </c>
      <c r="D12" s="2" t="inlineStr">
        <is>
          <t>Đà Nẵng</t>
        </is>
      </c>
      <c r="E12" s="2" t="inlineStr">
        <is>
          <t>Đà Nẵng</t>
        </is>
      </c>
      <c r="F12" s="2" t="inlineStr">
        <is>
          <t>0967890123</t>
        </is>
      </c>
      <c r="G12" s="2" t="inlineStr">
        <is>
          <t>inh.phan@email.com</t>
        </is>
      </c>
      <c r="H12" s="2" t="inlineStr">
        <is>
          <t>2023-10-20</t>
        </is>
      </c>
    </row>
    <row r="13">
      <c r="A13" s="3" t="inlineStr">
        <is>
          <t>C012</t>
        </is>
      </c>
      <c r="B13" s="3" t="inlineStr">
        <is>
          <t>Hoàng Minh</t>
        </is>
      </c>
      <c r="C13" s="3" t="inlineStr">
        <is>
          <t>Cá nhân</t>
        </is>
      </c>
      <c r="D13" s="3" t="inlineStr">
        <is>
          <t>Đà Nẵng</t>
        </is>
      </c>
      <c r="E13" s="3" t="inlineStr">
        <is>
          <t>Đà Nẵng</t>
        </is>
      </c>
      <c r="F13" s="3" t="inlineStr">
        <is>
          <t>0978901234</t>
        </is>
      </c>
      <c r="G13" s="3" t="inlineStr">
        <is>
          <t>minh.hoang@email.com</t>
        </is>
      </c>
      <c r="H13" s="3" t="inlineStr">
        <is>
          <t>2023-11-05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8" customWidth="1" min="7" max="7"/>
    <col width="10" customWidth="1" min="8" max="8"/>
    <col width="12" customWidth="1" min="9" max="9"/>
  </cols>
  <sheetData>
    <row r="1" ht="2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  <c r="F1" s="1" t="inlineStr">
        <is>
          <t>cost_price</t>
        </is>
      </c>
      <c r="G1" s="1" t="inlineStr">
        <is>
          <t>unit</t>
        </is>
      </c>
      <c r="H1" s="1" t="inlineStr">
        <is>
          <t>stock_qty</t>
        </is>
      </c>
      <c r="I1" s="1" t="inlineStr">
        <is>
          <t>status</t>
        </is>
      </c>
    </row>
    <row r="2">
      <c r="A2" s="2" t="inlineStr">
        <is>
          <t>P001</t>
        </is>
      </c>
      <c r="B2" s="2" t="inlineStr">
        <is>
          <t>Dell Inspiron 15</t>
        </is>
      </c>
      <c r="C2" s="2" t="inlineStr">
        <is>
          <t>Laptop</t>
        </is>
      </c>
      <c r="D2" s="2" t="inlineStr">
        <is>
          <t>Dell</t>
        </is>
      </c>
      <c r="E2" s="4" t="n">
        <v>18500000</v>
      </c>
      <c r="F2" s="4" t="n">
        <v>12000000</v>
      </c>
      <c r="G2" s="2" t="inlineStr">
        <is>
          <t>Chiếc</t>
        </is>
      </c>
      <c r="H2" s="2" t="n">
        <v>50</v>
      </c>
      <c r="I2" s="2" t="inlineStr">
        <is>
          <t>Còn hàng</t>
        </is>
      </c>
    </row>
    <row r="3">
      <c r="A3" s="3" t="inlineStr">
        <is>
          <t>P002</t>
        </is>
      </c>
      <c r="B3" s="3" t="inlineStr">
        <is>
          <t>MacBook Air M2</t>
        </is>
      </c>
      <c r="C3" s="3" t="inlineStr">
        <is>
          <t>Laptop</t>
        </is>
      </c>
      <c r="D3" s="3" t="inlineStr">
        <is>
          <t>Apple</t>
        </is>
      </c>
      <c r="E3" s="5" t="n">
        <v>32000000</v>
      </c>
      <c r="F3" s="5" t="n">
        <v>22000000</v>
      </c>
      <c r="G3" s="3" t="inlineStr">
        <is>
          <t>Chiếc</t>
        </is>
      </c>
      <c r="H3" s="3" t="n">
        <v>30</v>
      </c>
      <c r="I3" s="3" t="inlineStr">
        <is>
          <t>Còn hàng</t>
        </is>
      </c>
    </row>
    <row r="4">
      <c r="A4" s="2" t="inlineStr">
        <is>
          <t>P003</t>
        </is>
      </c>
      <c r="B4" s="2" t="inlineStr">
        <is>
          <t>HP Pavilion</t>
        </is>
      </c>
      <c r="C4" s="2" t="inlineStr">
        <is>
          <t>Laptop</t>
        </is>
      </c>
      <c r="D4" s="2" t="inlineStr">
        <is>
          <t>HP</t>
        </is>
      </c>
      <c r="E4" s="4" t="n">
        <v>14000000</v>
      </c>
      <c r="F4" s="4" t="n">
        <v>9500000</v>
      </c>
      <c r="G4" s="2" t="inlineStr">
        <is>
          <t>Chiếc</t>
        </is>
      </c>
      <c r="H4" s="2" t="n">
        <v>40</v>
      </c>
      <c r="I4" s="2" t="inlineStr">
        <is>
          <t>Còn hàng</t>
        </is>
      </c>
    </row>
    <row r="5">
      <c r="A5" s="3" t="inlineStr">
        <is>
          <t>P004</t>
        </is>
      </c>
      <c r="B5" s="3" t="inlineStr">
        <is>
          <t>iPhone 15</t>
        </is>
      </c>
      <c r="C5" s="3" t="inlineStr">
        <is>
          <t>Điện thoại</t>
        </is>
      </c>
      <c r="D5" s="3" t="inlineStr">
        <is>
          <t>Apple</t>
        </is>
      </c>
      <c r="E5" s="5" t="n">
        <v>22000000</v>
      </c>
      <c r="F5" s="5" t="n">
        <v>16000000</v>
      </c>
      <c r="G5" s="3" t="inlineStr">
        <is>
          <t>Chiếc</t>
        </is>
      </c>
      <c r="H5" s="3" t="n">
        <v>80</v>
      </c>
      <c r="I5" s="3" t="inlineStr">
        <is>
          <t>Còn hàng</t>
        </is>
      </c>
    </row>
    <row r="6">
      <c r="A6" s="2" t="inlineStr">
        <is>
          <t>P005</t>
        </is>
      </c>
      <c r="B6" s="2" t="inlineStr">
        <is>
          <t>Samsung Galaxy S24</t>
        </is>
      </c>
      <c r="C6" s="2" t="inlineStr">
        <is>
          <t>Điện thoại</t>
        </is>
      </c>
      <c r="D6" s="2" t="inlineStr">
        <is>
          <t>Samsung</t>
        </is>
      </c>
      <c r="E6" s="4" t="n">
        <v>18000000</v>
      </c>
      <c r="F6" s="4" t="n">
        <v>13000000</v>
      </c>
      <c r="G6" s="2" t="inlineStr">
        <is>
          <t>Chiếc</t>
        </is>
      </c>
      <c r="H6" s="2" t="n">
        <v>60</v>
      </c>
      <c r="I6" s="2" t="inlineStr">
        <is>
          <t>Còn hàng</t>
        </is>
      </c>
    </row>
    <row r="7">
      <c r="A7" s="3" t="inlineStr">
        <is>
          <t>P006</t>
        </is>
      </c>
      <c r="B7" s="3" t="inlineStr">
        <is>
          <t>Samsung 27inch</t>
        </is>
      </c>
      <c r="C7" s="3" t="inlineStr">
        <is>
          <t>Màn hình</t>
        </is>
      </c>
      <c r="D7" s="3" t="inlineStr">
        <is>
          <t>Samsung</t>
        </is>
      </c>
      <c r="E7" s="5" t="n">
        <v>6500000</v>
      </c>
      <c r="F7" s="5" t="n">
        <v>4200000</v>
      </c>
      <c r="G7" s="3" t="inlineStr">
        <is>
          <t>Chiếc</t>
        </is>
      </c>
      <c r="H7" s="3" t="n">
        <v>35</v>
      </c>
      <c r="I7" s="3" t="inlineStr">
        <is>
          <t>Còn hàng</t>
        </is>
      </c>
    </row>
    <row r="8">
      <c r="A8" s="2" t="inlineStr">
        <is>
          <t>P007</t>
        </is>
      </c>
      <c r="B8" s="2" t="inlineStr">
        <is>
          <t>LG 24inch</t>
        </is>
      </c>
      <c r="C8" s="2" t="inlineStr">
        <is>
          <t>Màn hình</t>
        </is>
      </c>
      <c r="D8" s="2" t="inlineStr">
        <is>
          <t>LG</t>
        </is>
      </c>
      <c r="E8" s="4" t="n">
        <v>4800000</v>
      </c>
      <c r="F8" s="4" t="n">
        <v>3100000</v>
      </c>
      <c r="G8" s="2" t="inlineStr">
        <is>
          <t>Chiếc</t>
        </is>
      </c>
      <c r="H8" s="2" t="n">
        <v>45</v>
      </c>
      <c r="I8" s="2" t="inlineStr">
        <is>
          <t>Còn hàng</t>
        </is>
      </c>
    </row>
    <row r="9">
      <c r="A9" s="3" t="inlineStr">
        <is>
          <t>P008</t>
        </is>
      </c>
      <c r="B9" s="3" t="inlineStr">
        <is>
          <t>Bàn phím cơ</t>
        </is>
      </c>
      <c r="C9" s="3" t="inlineStr">
        <is>
          <t>Phụ kiện</t>
        </is>
      </c>
      <c r="D9" s="3" t="inlineStr">
        <is>
          <t>Keychron</t>
        </is>
      </c>
      <c r="E9" s="5" t="n">
        <v>1200000</v>
      </c>
      <c r="F9" s="5" t="n">
        <v>700000</v>
      </c>
      <c r="G9" s="3" t="inlineStr">
        <is>
          <t>Chiếc</t>
        </is>
      </c>
      <c r="H9" s="3" t="n">
        <v>100</v>
      </c>
      <c r="I9" s="3" t="inlineStr">
        <is>
          <t>Còn hàng</t>
        </is>
      </c>
    </row>
    <row r="10">
      <c r="A10" s="2" t="inlineStr">
        <is>
          <t>P009</t>
        </is>
      </c>
      <c r="B10" s="2" t="inlineStr">
        <is>
          <t>Chuột Logitech</t>
        </is>
      </c>
      <c r="C10" s="2" t="inlineStr">
        <is>
          <t>Phụ kiện</t>
        </is>
      </c>
      <c r="D10" s="2" t="inlineStr">
        <is>
          <t>Logitech</t>
        </is>
      </c>
      <c r="E10" s="4" t="n">
        <v>850000</v>
      </c>
      <c r="F10" s="4" t="n">
        <v>500000</v>
      </c>
      <c r="G10" s="2" t="inlineStr">
        <is>
          <t>Chiếc</t>
        </is>
      </c>
      <c r="H10" s="2" t="n">
        <v>150</v>
      </c>
      <c r="I10" s="2" t="inlineStr">
        <is>
          <t>Còn hàng</t>
        </is>
      </c>
    </row>
    <row r="11">
      <c r="A11" s="3" t="inlineStr">
        <is>
          <t>P010</t>
        </is>
      </c>
      <c r="B11" s="3" t="inlineStr">
        <is>
          <t>Tai nghe Sony</t>
        </is>
      </c>
      <c r="C11" s="3" t="inlineStr">
        <is>
          <t>Phụ kiện</t>
        </is>
      </c>
      <c r="D11" s="3" t="inlineStr">
        <is>
          <t>Sony</t>
        </is>
      </c>
      <c r="E11" s="5" t="n">
        <v>2500000</v>
      </c>
      <c r="F11" s="5" t="n">
        <v>1600000</v>
      </c>
      <c r="G11" s="3" t="inlineStr">
        <is>
          <t>Chiếc</t>
        </is>
      </c>
      <c r="H11" s="3" t="n">
        <v>70</v>
      </c>
      <c r="I11" s="3" t="inlineStr">
        <is>
          <t>Còn hàng</t>
        </is>
      </c>
    </row>
    <row r="12">
      <c r="A12" s="2" t="inlineStr">
        <is>
          <t>P011</t>
        </is>
      </c>
      <c r="B12" s="2" t="inlineStr">
        <is>
          <t>USB-C Hub</t>
        </is>
      </c>
      <c r="C12" s="2" t="inlineStr">
        <is>
          <t>Phụ kiện</t>
        </is>
      </c>
      <c r="D12" s="2" t="inlineStr">
        <is>
          <t>Ugreen</t>
        </is>
      </c>
      <c r="E12" s="4" t="n">
        <v>650000</v>
      </c>
      <c r="F12" s="4" t="n">
        <v>380000</v>
      </c>
      <c r="G12" s="2" t="inlineStr">
        <is>
          <t>Chiếc</t>
        </is>
      </c>
      <c r="H12" s="2" t="n">
        <v>200</v>
      </c>
      <c r="I12" s="2" t="inlineStr">
        <is>
          <t>Còn hàng</t>
        </is>
      </c>
    </row>
    <row r="13">
      <c r="A13" s="3" t="inlineStr">
        <is>
          <t>P012</t>
        </is>
      </c>
      <c r="B13" s="3" t="inlineStr">
        <is>
          <t>Laptop Stand</t>
        </is>
      </c>
      <c r="C13" s="3" t="inlineStr">
        <is>
          <t>Phụ kiện</t>
        </is>
      </c>
      <c r="D13" s="3" t="inlineStr">
        <is>
          <t>Adjustable</t>
        </is>
      </c>
      <c r="E13" s="5" t="n">
        <v>450000</v>
      </c>
      <c r="F13" s="5" t="n">
        <v>250000</v>
      </c>
      <c r="G13" s="3" t="inlineStr">
        <is>
          <t>Chiếc</t>
        </is>
      </c>
      <c r="H13" s="3" t="n">
        <v>0</v>
      </c>
      <c r="I13" s="3" t="inlineStr">
        <is>
          <t>Hết hàng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8" customWidth="1" min="4" max="4"/>
    <col width="14" customWidth="1" min="5" max="5"/>
    <col width="12" customWidth="1" min="6" max="6"/>
    <col width="18" customWidth="1" min="7" max="7"/>
    <col width="16" customWidth="1" min="8" max="8"/>
  </cols>
  <sheetData>
    <row r="1" ht="22" customHeight="1">
      <c r="A1" s="1" t="inlineStr">
        <is>
          <t>rep_id</t>
        </is>
      </c>
      <c r="B1" s="1" t="inlineStr">
        <is>
          <t>rep_name</t>
        </is>
      </c>
      <c r="C1" s="1" t="inlineStr">
        <is>
          <t>region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hire_date</t>
        </is>
      </c>
      <c r="G1" s="1" t="inlineStr">
        <is>
          <t>target_monthly</t>
        </is>
      </c>
      <c r="H1" s="1" t="inlineStr">
        <is>
          <t>commission_pct</t>
        </is>
      </c>
    </row>
    <row r="2">
      <c r="A2" s="2" t="inlineStr">
        <is>
          <t>R001</t>
        </is>
      </c>
      <c r="B2" s="2" t="inlineStr">
        <is>
          <t>Trần Minh</t>
        </is>
      </c>
      <c r="C2" s="2" t="inlineStr">
        <is>
          <t>Hà Nội</t>
        </is>
      </c>
      <c r="D2" s="2" t="inlineStr">
        <is>
          <t>tran.minh@company.com</t>
        </is>
      </c>
      <c r="E2" s="2" t="inlineStr">
        <is>
          <t>0901111111</t>
        </is>
      </c>
      <c r="F2" s="2" t="inlineStr">
        <is>
          <t>2022-03-01</t>
        </is>
      </c>
      <c r="G2" s="4" t="n">
        <v>300000000</v>
      </c>
      <c r="H2" s="6" t="n">
        <v>0.035</v>
      </c>
    </row>
    <row r="3">
      <c r="A3" s="3" t="inlineStr">
        <is>
          <t>R002</t>
        </is>
      </c>
      <c r="B3" s="3" t="inlineStr">
        <is>
          <t>Phạm Hoa</t>
        </is>
      </c>
      <c r="C3" s="3" t="inlineStr">
        <is>
          <t>TP.HCM</t>
        </is>
      </c>
      <c r="D3" s="3" t="inlineStr">
        <is>
          <t>pham.hoa@company.com</t>
        </is>
      </c>
      <c r="E3" s="3" t="inlineStr">
        <is>
          <t>0912222222</t>
        </is>
      </c>
      <c r="F3" s="3" t="inlineStr">
        <is>
          <t>2021-06-15</t>
        </is>
      </c>
      <c r="G3" s="5" t="n">
        <v>400000000</v>
      </c>
      <c r="H3" s="7" t="n">
        <v>0.04</v>
      </c>
    </row>
    <row r="4">
      <c r="A4" s="2" t="inlineStr">
        <is>
          <t>R003</t>
        </is>
      </c>
      <c r="B4" s="2" t="inlineStr">
        <is>
          <t>Nguyễn Lân</t>
        </is>
      </c>
      <c r="C4" s="2" t="inlineStr">
        <is>
          <t>Đà Nẵng</t>
        </is>
      </c>
      <c r="D4" s="2" t="inlineStr">
        <is>
          <t>nguyen.lan@company.com</t>
        </is>
      </c>
      <c r="E4" s="2" t="inlineStr">
        <is>
          <t>0923333333</t>
        </is>
      </c>
      <c r="F4" s="2" t="inlineStr">
        <is>
          <t>2022-09-01</t>
        </is>
      </c>
      <c r="G4" s="4" t="n">
        <v>200000000</v>
      </c>
      <c r="H4" s="6" t="n">
        <v>0.03</v>
      </c>
    </row>
    <row r="5">
      <c r="A5" s="3" t="inlineStr">
        <is>
          <t>R004</t>
        </is>
      </c>
      <c r="B5" s="3" t="inlineStr">
        <is>
          <t>Lê Quân</t>
        </is>
      </c>
      <c r="C5" s="3" t="inlineStr">
        <is>
          <t>Hải Phòng</t>
        </is>
      </c>
      <c r="D5" s="3" t="inlineStr">
        <is>
          <t>le.quan@company.com</t>
        </is>
      </c>
      <c r="E5" s="3" t="inlineStr">
        <is>
          <t>0934444444</t>
        </is>
      </c>
      <c r="F5" s="3" t="inlineStr">
        <is>
          <t>2023-01-10</t>
        </is>
      </c>
      <c r="G5" s="5" t="n">
        <v>150000000</v>
      </c>
      <c r="H5" s="7" t="n">
        <v>0.03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14" customWidth="1" min="5" max="5"/>
    <col width="18" customWidth="1" min="6" max="6"/>
    <col width="14" customWidth="1" min="7" max="7"/>
    <col width="24" customWidth="1" min="8" max="8"/>
  </cols>
  <sheetData>
    <row r="1" ht="2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rep_id</t>
        </is>
      </c>
      <c r="E1" s="1" t="inlineStr">
        <is>
          <t>status</t>
        </is>
      </c>
      <c r="F1" s="1" t="inlineStr">
        <is>
          <t>payment_method</t>
        </is>
      </c>
      <c r="G1" s="1" t="inlineStr">
        <is>
          <t>shipping_fee</t>
        </is>
      </c>
      <c r="H1" s="1" t="inlineStr">
        <is>
          <t>note</t>
        </is>
      </c>
    </row>
    <row r="2">
      <c r="A2" s="2" t="inlineStr">
        <is>
          <t>ORD001</t>
        </is>
      </c>
      <c r="B2" s="2" t="inlineStr">
        <is>
          <t>2024-01-05</t>
        </is>
      </c>
      <c r="C2" s="8" t="inlineStr">
        <is>
          <t>C001</t>
        </is>
      </c>
      <c r="D2" s="8" t="inlineStr">
        <is>
          <t>R001</t>
        </is>
      </c>
      <c r="E2" s="2" t="inlineStr">
        <is>
          <t>Hoàn thành</t>
        </is>
      </c>
      <c r="F2" s="2" t="inlineStr">
        <is>
          <t>Chuyển khoản</t>
        </is>
      </c>
      <c r="G2" s="4" t="n">
        <v>50000</v>
      </c>
      <c r="H2" s="2" t="inlineStr"/>
    </row>
    <row r="3">
      <c r="A3" s="3" t="inlineStr">
        <is>
          <t>ORD002</t>
        </is>
      </c>
      <c r="B3" s="3" t="inlineStr">
        <is>
          <t>2024-01-08</t>
        </is>
      </c>
      <c r="C3" s="8" t="inlineStr">
        <is>
          <t>C002</t>
        </is>
      </c>
      <c r="D3" s="8" t="inlineStr">
        <is>
          <t>R002</t>
        </is>
      </c>
      <c r="E3" s="3" t="inlineStr">
        <is>
          <t>Hoàn thành</t>
        </is>
      </c>
      <c r="F3" s="3" t="inlineStr">
        <is>
          <t>Tiền mặt</t>
        </is>
      </c>
      <c r="G3" s="5" t="n">
        <v>0</v>
      </c>
      <c r="H3" s="3" t="inlineStr">
        <is>
          <t>Khách lấy tại cửa hàng</t>
        </is>
      </c>
    </row>
    <row r="4">
      <c r="A4" s="2" t="inlineStr">
        <is>
          <t>ORD003</t>
        </is>
      </c>
      <c r="B4" s="2" t="inlineStr">
        <is>
          <t>2024-01-12</t>
        </is>
      </c>
      <c r="C4" s="8" t="inlineStr">
        <is>
          <t>C003</t>
        </is>
      </c>
      <c r="D4" s="8" t="inlineStr">
        <is>
          <t>R003</t>
        </is>
      </c>
      <c r="E4" s="2" t="inlineStr">
        <is>
          <t>Hoàn thành</t>
        </is>
      </c>
      <c r="F4" s="2" t="inlineStr">
        <is>
          <t>Chuyển khoản</t>
        </is>
      </c>
      <c r="G4" s="4" t="n">
        <v>80000</v>
      </c>
      <c r="H4" s="2" t="inlineStr"/>
    </row>
    <row r="5">
      <c r="A5" s="3" t="inlineStr">
        <is>
          <t>ORD004</t>
        </is>
      </c>
      <c r="B5" s="3" t="inlineStr">
        <is>
          <t>2024-01-15</t>
        </is>
      </c>
      <c r="C5" s="8" t="inlineStr">
        <is>
          <t>C001</t>
        </is>
      </c>
      <c r="D5" s="8" t="inlineStr">
        <is>
          <t>R001</t>
        </is>
      </c>
      <c r="E5" s="3" t="inlineStr">
        <is>
          <t>Hoàn thành</t>
        </is>
      </c>
      <c r="F5" s="3" t="inlineStr">
        <is>
          <t>Chuyển khoản</t>
        </is>
      </c>
      <c r="G5" s="5" t="n">
        <v>30000</v>
      </c>
      <c r="H5" s="3" t="inlineStr"/>
    </row>
    <row r="6">
      <c r="A6" s="2" t="inlineStr">
        <is>
          <t>ORD005</t>
        </is>
      </c>
      <c r="B6" s="2" t="inlineStr">
        <is>
          <t>2024-01-20</t>
        </is>
      </c>
      <c r="C6" s="8" t="inlineStr">
        <is>
          <t>C004</t>
        </is>
      </c>
      <c r="D6" s="8" t="inlineStr">
        <is>
          <t>R004</t>
        </is>
      </c>
      <c r="E6" s="2" t="inlineStr">
        <is>
          <t>Hoàn thành</t>
        </is>
      </c>
      <c r="F6" s="2" t="inlineStr">
        <is>
          <t>COD</t>
        </is>
      </c>
      <c r="G6" s="4" t="n">
        <v>50000</v>
      </c>
      <c r="H6" s="2" t="inlineStr"/>
    </row>
    <row r="7">
      <c r="A7" s="3" t="inlineStr">
        <is>
          <t>ORD006</t>
        </is>
      </c>
      <c r="B7" s="3" t="inlineStr">
        <is>
          <t>2024-02-03</t>
        </is>
      </c>
      <c r="C7" s="8" t="inlineStr">
        <is>
          <t>C005</t>
        </is>
      </c>
      <c r="D7" s="8" t="inlineStr">
        <is>
          <t>R002</t>
        </is>
      </c>
      <c r="E7" s="3" t="inlineStr">
        <is>
          <t>Hoàn thành</t>
        </is>
      </c>
      <c r="F7" s="3" t="inlineStr">
        <is>
          <t>Chuyển khoản</t>
        </is>
      </c>
      <c r="G7" s="5" t="n">
        <v>100000</v>
      </c>
      <c r="H7" s="3" t="inlineStr">
        <is>
          <t>Đơn hàng lớn</t>
        </is>
      </c>
    </row>
    <row r="8">
      <c r="A8" s="2" t="inlineStr">
        <is>
          <t>ORD007</t>
        </is>
      </c>
      <c r="B8" s="2" t="inlineStr">
        <is>
          <t>2024-02-10</t>
        </is>
      </c>
      <c r="C8" s="8" t="inlineStr">
        <is>
          <t>C006</t>
        </is>
      </c>
      <c r="D8" s="8" t="inlineStr">
        <is>
          <t>R001</t>
        </is>
      </c>
      <c r="E8" s="2" t="inlineStr">
        <is>
          <t>Hoàn thành</t>
        </is>
      </c>
      <c r="F8" s="2" t="inlineStr">
        <is>
          <t>Tiền mặt</t>
        </is>
      </c>
      <c r="G8" s="4" t="n">
        <v>0</v>
      </c>
      <c r="H8" s="2" t="inlineStr"/>
    </row>
    <row r="9">
      <c r="A9" s="3" t="inlineStr">
        <is>
          <t>ORD008</t>
        </is>
      </c>
      <c r="B9" s="3" t="inlineStr">
        <is>
          <t>2024-02-14</t>
        </is>
      </c>
      <c r="C9" s="8" t="inlineStr">
        <is>
          <t>C007</t>
        </is>
      </c>
      <c r="D9" s="8" t="inlineStr">
        <is>
          <t>R003</t>
        </is>
      </c>
      <c r="E9" s="3" t="inlineStr">
        <is>
          <t>Hoàn thành</t>
        </is>
      </c>
      <c r="F9" s="3" t="inlineStr">
        <is>
          <t>Chuyển khoản</t>
        </is>
      </c>
      <c r="G9" s="5" t="n">
        <v>60000</v>
      </c>
      <c r="H9" s="3" t="inlineStr"/>
    </row>
    <row r="10">
      <c r="A10" s="2" t="inlineStr">
        <is>
          <t>ORD009</t>
        </is>
      </c>
      <c r="B10" s="2" t="inlineStr">
        <is>
          <t>2024-02-18</t>
        </is>
      </c>
      <c r="C10" s="8" t="inlineStr">
        <is>
          <t>C008</t>
        </is>
      </c>
      <c r="D10" s="8" t="inlineStr">
        <is>
          <t>R001</t>
        </is>
      </c>
      <c r="E10" s="2" t="inlineStr">
        <is>
          <t>Hoàn thành</t>
        </is>
      </c>
      <c r="F10" s="2" t="inlineStr">
        <is>
          <t>Chuyển khoản</t>
        </is>
      </c>
      <c r="G10" s="4" t="n">
        <v>50000</v>
      </c>
      <c r="H10" s="2" t="inlineStr"/>
    </row>
    <row r="11">
      <c r="A11" s="3" t="inlineStr">
        <is>
          <t>ORD010</t>
        </is>
      </c>
      <c r="B11" s="3" t="inlineStr">
        <is>
          <t>2024-02-22</t>
        </is>
      </c>
      <c r="C11" s="8" t="inlineStr">
        <is>
          <t>C009</t>
        </is>
      </c>
      <c r="D11" s="8" t="inlineStr">
        <is>
          <t>R002</t>
        </is>
      </c>
      <c r="E11" s="3" t="inlineStr">
        <is>
          <t>Hoàn thành</t>
        </is>
      </c>
      <c r="F11" s="3" t="inlineStr">
        <is>
          <t>Thẻ tín dụng</t>
        </is>
      </c>
      <c r="G11" s="5" t="n">
        <v>0</v>
      </c>
      <c r="H11" s="3" t="inlineStr"/>
    </row>
    <row r="12">
      <c r="A12" s="2" t="inlineStr">
        <is>
          <t>ORD011</t>
        </is>
      </c>
      <c r="B12" s="2" t="inlineStr">
        <is>
          <t>2024-03-01</t>
        </is>
      </c>
      <c r="C12" s="8" t="inlineStr">
        <is>
          <t>C011</t>
        </is>
      </c>
      <c r="D12" s="8" t="inlineStr">
        <is>
          <t>R003</t>
        </is>
      </c>
      <c r="E12" s="2" t="inlineStr">
        <is>
          <t>Hoàn thành</t>
        </is>
      </c>
      <c r="F12" s="2" t="inlineStr">
        <is>
          <t>Chuyển khoản</t>
        </is>
      </c>
      <c r="G12" s="4" t="n">
        <v>50000</v>
      </c>
      <c r="H12" s="2" t="inlineStr"/>
    </row>
    <row r="13">
      <c r="A13" s="3" t="inlineStr">
        <is>
          <t>ORD012</t>
        </is>
      </c>
      <c r="B13" s="3" t="inlineStr">
        <is>
          <t>2024-03-07</t>
        </is>
      </c>
      <c r="C13" s="8" t="inlineStr">
        <is>
          <t>C001</t>
        </is>
      </c>
      <c r="D13" s="8" t="inlineStr">
        <is>
          <t>R001</t>
        </is>
      </c>
      <c r="E13" s="3" t="inlineStr">
        <is>
          <t>Hoàn thành</t>
        </is>
      </c>
      <c r="F13" s="3" t="inlineStr">
        <is>
          <t>Tiền mặt</t>
        </is>
      </c>
      <c r="G13" s="5" t="n">
        <v>0</v>
      </c>
      <c r="H13" s="3" t="inlineStr"/>
    </row>
    <row r="14">
      <c r="A14" s="2" t="inlineStr">
        <is>
          <t>ORD013</t>
        </is>
      </c>
      <c r="B14" s="2" t="inlineStr">
        <is>
          <t>2024-03-15</t>
        </is>
      </c>
      <c r="C14" s="8" t="inlineStr">
        <is>
          <t>C002</t>
        </is>
      </c>
      <c r="D14" s="8" t="inlineStr">
        <is>
          <t>R002</t>
        </is>
      </c>
      <c r="E14" s="2" t="inlineStr">
        <is>
          <t>Hoàn thành</t>
        </is>
      </c>
      <c r="F14" s="2" t="inlineStr">
        <is>
          <t>Thẻ tín dụng</t>
        </is>
      </c>
      <c r="G14" s="4" t="n">
        <v>50000</v>
      </c>
      <c r="H14" s="2" t="inlineStr"/>
    </row>
    <row r="15">
      <c r="A15" s="3" t="inlineStr">
        <is>
          <t>ORD014</t>
        </is>
      </c>
      <c r="B15" s="3" t="inlineStr">
        <is>
          <t>2024-03-20</t>
        </is>
      </c>
      <c r="C15" s="8" t="inlineStr">
        <is>
          <t>C006</t>
        </is>
      </c>
      <c r="D15" s="8" t="inlineStr">
        <is>
          <t>R001</t>
        </is>
      </c>
      <c r="E15" s="3" t="inlineStr">
        <is>
          <t>Hoàn thành</t>
        </is>
      </c>
      <c r="F15" s="3" t="inlineStr">
        <is>
          <t>Chuyển khoản</t>
        </is>
      </c>
      <c r="G15" s="5" t="n">
        <v>50000</v>
      </c>
      <c r="H15" s="3" t="inlineStr"/>
    </row>
    <row r="16">
      <c r="A16" s="2" t="inlineStr">
        <is>
          <t>ORD015</t>
        </is>
      </c>
      <c r="B16" s="2" t="inlineStr">
        <is>
          <t>2024-03-28</t>
        </is>
      </c>
      <c r="C16" s="8" t="inlineStr">
        <is>
          <t>C004</t>
        </is>
      </c>
      <c r="D16" s="8" t="inlineStr">
        <is>
          <t>R004</t>
        </is>
      </c>
      <c r="E16" s="2" t="inlineStr">
        <is>
          <t>Hoàn thành</t>
        </is>
      </c>
      <c r="F16" s="2" t="inlineStr">
        <is>
          <t>COD</t>
        </is>
      </c>
      <c r="G16" s="4" t="n">
        <v>80000</v>
      </c>
      <c r="H16" s="2" t="inlineStr"/>
    </row>
    <row r="17">
      <c r="A17" s="3" t="inlineStr">
        <is>
          <t>ORD016</t>
        </is>
      </c>
      <c r="B17" s="3" t="inlineStr">
        <is>
          <t>2024-04-05</t>
        </is>
      </c>
      <c r="C17" s="8" t="inlineStr">
        <is>
          <t>C009</t>
        </is>
      </c>
      <c r="D17" s="8" t="inlineStr">
        <is>
          <t>R002</t>
        </is>
      </c>
      <c r="E17" s="3" t="inlineStr">
        <is>
          <t>Hoàn thành</t>
        </is>
      </c>
      <c r="F17" s="3" t="inlineStr">
        <is>
          <t>Thẻ tín dụng</t>
        </is>
      </c>
      <c r="G17" s="5" t="n">
        <v>50000</v>
      </c>
      <c r="H17" s="3" t="inlineStr"/>
    </row>
    <row r="18">
      <c r="A18" s="2" t="inlineStr">
        <is>
          <t>ORD017</t>
        </is>
      </c>
      <c r="B18" s="2" t="inlineStr">
        <is>
          <t>2024-04-10</t>
        </is>
      </c>
      <c r="C18" s="8" t="inlineStr">
        <is>
          <t>C008</t>
        </is>
      </c>
      <c r="D18" s="8" t="inlineStr">
        <is>
          <t>R001</t>
        </is>
      </c>
      <c r="E18" s="2" t="inlineStr">
        <is>
          <t>Hoàn thành</t>
        </is>
      </c>
      <c r="F18" s="2" t="inlineStr">
        <is>
          <t>Chuyển khoản</t>
        </is>
      </c>
      <c r="G18" s="4" t="n">
        <v>30000</v>
      </c>
      <c r="H18" s="2" t="inlineStr"/>
    </row>
    <row r="19">
      <c r="A19" s="3" t="inlineStr">
        <is>
          <t>ORD018</t>
        </is>
      </c>
      <c r="B19" s="3" t="inlineStr">
        <is>
          <t>2024-04-18</t>
        </is>
      </c>
      <c r="C19" s="8" t="inlineStr">
        <is>
          <t>C004</t>
        </is>
      </c>
      <c r="D19" s="8" t="inlineStr">
        <is>
          <t>R004</t>
        </is>
      </c>
      <c r="E19" s="3" t="inlineStr">
        <is>
          <t>Hoàn thành</t>
        </is>
      </c>
      <c r="F19" s="3" t="inlineStr">
        <is>
          <t>COD</t>
        </is>
      </c>
      <c r="G19" s="5" t="n">
        <v>50000</v>
      </c>
      <c r="H19" s="3" t="inlineStr"/>
    </row>
    <row r="20">
      <c r="A20" s="2" t="inlineStr">
        <is>
          <t>ORD019</t>
        </is>
      </c>
      <c r="B20" s="2" t="inlineStr">
        <is>
          <t>2024-04-25</t>
        </is>
      </c>
      <c r="C20" s="8" t="inlineStr">
        <is>
          <t>C003</t>
        </is>
      </c>
      <c r="D20" s="8" t="inlineStr">
        <is>
          <t>R003</t>
        </is>
      </c>
      <c r="E20" s="2" t="inlineStr">
        <is>
          <t>Hoàn thành</t>
        </is>
      </c>
      <c r="F20" s="2" t="inlineStr">
        <is>
          <t>Chuyển khoản</t>
        </is>
      </c>
      <c r="G20" s="4" t="n">
        <v>80000</v>
      </c>
      <c r="H20" s="2" t="inlineStr"/>
    </row>
    <row r="21">
      <c r="A21" s="3" t="inlineStr">
        <is>
          <t>ORD020</t>
        </is>
      </c>
      <c r="B21" s="3" t="inlineStr">
        <is>
          <t>2024-04-30</t>
        </is>
      </c>
      <c r="C21" s="8" t="inlineStr">
        <is>
          <t>C002</t>
        </is>
      </c>
      <c r="D21" s="8" t="inlineStr">
        <is>
          <t>R002</t>
        </is>
      </c>
      <c r="E21" s="3" t="inlineStr">
        <is>
          <t>Hoàn thành</t>
        </is>
      </c>
      <c r="F21" s="3" t="inlineStr">
        <is>
          <t>Thẻ tín dụng</t>
        </is>
      </c>
      <c r="G21" s="5" t="n">
        <v>0</v>
      </c>
      <c r="H21" s="3" t="inlineStr"/>
    </row>
    <row r="22">
      <c r="A22" s="2" t="inlineStr">
        <is>
          <t>ORD021</t>
        </is>
      </c>
      <c r="B22" s="2" t="inlineStr">
        <is>
          <t>2024-05-05</t>
        </is>
      </c>
      <c r="C22" s="8" t="inlineStr">
        <is>
          <t>C006</t>
        </is>
      </c>
      <c r="D22" s="8" t="inlineStr">
        <is>
          <t>R001</t>
        </is>
      </c>
      <c r="E22" s="2" t="inlineStr">
        <is>
          <t>Hoàn thành</t>
        </is>
      </c>
      <c r="F22" s="2" t="inlineStr">
        <is>
          <t>Chuyển khoản</t>
        </is>
      </c>
      <c r="G22" s="4" t="n">
        <v>50000</v>
      </c>
      <c r="H22" s="2" t="inlineStr"/>
    </row>
    <row r="23">
      <c r="A23" s="3" t="inlineStr">
        <is>
          <t>ORD022</t>
        </is>
      </c>
      <c r="B23" s="3" t="inlineStr">
        <is>
          <t>2024-05-12</t>
        </is>
      </c>
      <c r="C23" s="8" t="inlineStr">
        <is>
          <t>C007</t>
        </is>
      </c>
      <c r="D23" s="8" t="inlineStr">
        <is>
          <t>R003</t>
        </is>
      </c>
      <c r="E23" s="3" t="inlineStr">
        <is>
          <t>Hoàn thành</t>
        </is>
      </c>
      <c r="F23" s="3" t="inlineStr">
        <is>
          <t>Chuyển khoản</t>
        </is>
      </c>
      <c r="G23" s="5" t="n">
        <v>60000</v>
      </c>
      <c r="H23" s="3" t="inlineStr"/>
    </row>
    <row r="24">
      <c r="A24" s="2" t="inlineStr">
        <is>
          <t>ORD023</t>
        </is>
      </c>
      <c r="B24" s="2" t="inlineStr">
        <is>
          <t>2024-05-20</t>
        </is>
      </c>
      <c r="C24" s="8" t="inlineStr">
        <is>
          <t>C009</t>
        </is>
      </c>
      <c r="D24" s="8" t="inlineStr">
        <is>
          <t>R002</t>
        </is>
      </c>
      <c r="E24" s="2" t="inlineStr">
        <is>
          <t>Hoàn thành</t>
        </is>
      </c>
      <c r="F24" s="2" t="inlineStr">
        <is>
          <t>Thẻ tín dụng</t>
        </is>
      </c>
      <c r="G24" s="4" t="n">
        <v>50000</v>
      </c>
      <c r="H24" s="2" t="inlineStr"/>
    </row>
    <row r="25">
      <c r="A25" s="3" t="inlineStr">
        <is>
          <t>ORD024</t>
        </is>
      </c>
      <c r="B25" s="3" t="inlineStr">
        <is>
          <t>2024-05-28</t>
        </is>
      </c>
      <c r="C25" s="8" t="inlineStr">
        <is>
          <t>C006</t>
        </is>
      </c>
      <c r="D25" s="8" t="inlineStr">
        <is>
          <t>R001</t>
        </is>
      </c>
      <c r="E25" s="3" t="inlineStr">
        <is>
          <t>Hoàn thành</t>
        </is>
      </c>
      <c r="F25" s="3" t="inlineStr">
        <is>
          <t>Tiền mặt</t>
        </is>
      </c>
      <c r="G25" s="5" t="n">
        <v>0</v>
      </c>
      <c r="H25" s="3" t="inlineStr"/>
    </row>
    <row r="26">
      <c r="A26" s="2" t="inlineStr">
        <is>
          <t>ORD025</t>
        </is>
      </c>
      <c r="B26" s="2" t="inlineStr">
        <is>
          <t>2024-06-03</t>
        </is>
      </c>
      <c r="C26" s="8" t="inlineStr">
        <is>
          <t>C004</t>
        </is>
      </c>
      <c r="D26" s="8" t="inlineStr">
        <is>
          <t>R004</t>
        </is>
      </c>
      <c r="E26" s="2" t="inlineStr">
        <is>
          <t>Hoàn thành</t>
        </is>
      </c>
      <c r="F26" s="2" t="inlineStr">
        <is>
          <t>COD</t>
        </is>
      </c>
      <c r="G26" s="4" t="n">
        <v>50000</v>
      </c>
      <c r="H26" s="2" t="inlineStr"/>
    </row>
    <row r="27">
      <c r="A27" s="3" t="inlineStr">
        <is>
          <t>ORD026</t>
        </is>
      </c>
      <c r="B27" s="3" t="inlineStr">
        <is>
          <t>2024-06-10</t>
        </is>
      </c>
      <c r="C27" s="8" t="inlineStr">
        <is>
          <t>C008</t>
        </is>
      </c>
      <c r="D27" s="8" t="inlineStr">
        <is>
          <t>R001</t>
        </is>
      </c>
      <c r="E27" s="3" t="inlineStr">
        <is>
          <t>Hoàn thành</t>
        </is>
      </c>
      <c r="F27" s="3" t="inlineStr">
        <is>
          <t>Chuyển khoản</t>
        </is>
      </c>
      <c r="G27" s="5" t="n">
        <v>30000</v>
      </c>
      <c r="H27" s="3" t="inlineStr"/>
    </row>
    <row r="28">
      <c r="A28" s="2" t="inlineStr">
        <is>
          <t>ORD027</t>
        </is>
      </c>
      <c r="B28" s="2" t="inlineStr">
        <is>
          <t>2024-06-15</t>
        </is>
      </c>
      <c r="C28" s="8" t="inlineStr">
        <is>
          <t>C010</t>
        </is>
      </c>
      <c r="D28" s="8" t="inlineStr">
        <is>
          <t>R002</t>
        </is>
      </c>
      <c r="E28" s="2" t="inlineStr">
        <is>
          <t>Hoàn thành</t>
        </is>
      </c>
      <c r="F28" s="2" t="inlineStr">
        <is>
          <t>Chuyển khoản</t>
        </is>
      </c>
      <c r="G28" s="4" t="n">
        <v>100000</v>
      </c>
      <c r="H28" s="2" t="inlineStr"/>
    </row>
    <row r="29">
      <c r="A29" s="3" t="inlineStr">
        <is>
          <t>ORD028</t>
        </is>
      </c>
      <c r="B29" s="3" t="inlineStr">
        <is>
          <t>2024-06-22</t>
        </is>
      </c>
      <c r="C29" s="8" t="inlineStr">
        <is>
          <t>C001</t>
        </is>
      </c>
      <c r="D29" s="8" t="inlineStr">
        <is>
          <t>R001</t>
        </is>
      </c>
      <c r="E29" s="3" t="inlineStr">
        <is>
          <t>Hoàn thành</t>
        </is>
      </c>
      <c r="F29" s="3" t="inlineStr">
        <is>
          <t>Tiền mặt</t>
        </is>
      </c>
      <c r="G29" s="5" t="n">
        <v>0</v>
      </c>
      <c r="H29" s="3" t="inlineStr"/>
    </row>
    <row r="30">
      <c r="A30" s="2" t="inlineStr">
        <is>
          <t>ORD029</t>
        </is>
      </c>
      <c r="B30" s="2" t="inlineStr">
        <is>
          <t>2024-06-28</t>
        </is>
      </c>
      <c r="C30" s="8" t="inlineStr">
        <is>
          <t>C002</t>
        </is>
      </c>
      <c r="D30" s="8" t="inlineStr">
        <is>
          <t>R002</t>
        </is>
      </c>
      <c r="E30" s="2" t="inlineStr">
        <is>
          <t>Hoàn thành</t>
        </is>
      </c>
      <c r="F30" s="2" t="inlineStr">
        <is>
          <t>Thẻ tín dụng</t>
        </is>
      </c>
      <c r="G30" s="4" t="n">
        <v>0</v>
      </c>
      <c r="H30" s="2" t="inlineStr"/>
    </row>
    <row r="31">
      <c r="A31" s="3" t="inlineStr">
        <is>
          <t>ORD030</t>
        </is>
      </c>
      <c r="B31" s="3" t="inlineStr">
        <is>
          <t>2024-07-05</t>
        </is>
      </c>
      <c r="C31" s="8" t="inlineStr">
        <is>
          <t>C012</t>
        </is>
      </c>
      <c r="D31" s="8" t="inlineStr">
        <is>
          <t>R003</t>
        </is>
      </c>
      <c r="E31" s="3" t="inlineStr">
        <is>
          <t>Hoàn thành</t>
        </is>
      </c>
      <c r="F31" s="3" t="inlineStr">
        <is>
          <t>Chuyển khoản</t>
        </is>
      </c>
      <c r="G31" s="5" t="n">
        <v>50000</v>
      </c>
      <c r="H31" s="3" t="inlineStr"/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6" customWidth="1" min="5" max="5"/>
    <col width="13" customWidth="1" min="6" max="6"/>
    <col width="18" customWidth="1" min="7" max="7"/>
  </cols>
  <sheetData>
    <row r="1" ht="22" customHeight="1">
      <c r="A1" s="1" t="inlineStr">
        <is>
          <t>detail_id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discount_pct</t>
        </is>
      </c>
      <c r="G1" s="1" t="inlineStr">
        <is>
          <t>line_total</t>
        </is>
      </c>
    </row>
    <row r="2">
      <c r="A2" s="2" t="inlineStr">
        <is>
          <t>D001</t>
        </is>
      </c>
      <c r="B2" s="8" t="inlineStr">
        <is>
          <t>ORD001</t>
        </is>
      </c>
      <c r="C2" s="8" t="inlineStr">
        <is>
          <t>P001</t>
        </is>
      </c>
      <c r="D2" s="4" t="n">
        <v>2</v>
      </c>
      <c r="E2" s="4" t="n">
        <v>18500000</v>
      </c>
      <c r="F2" s="9" t="n">
        <v>0.05</v>
      </c>
      <c r="G2" s="10">
        <f>D2*E2*(1-F2)</f>
        <v/>
      </c>
    </row>
    <row r="3">
      <c r="A3" s="3" t="inlineStr">
        <is>
          <t>D002</t>
        </is>
      </c>
      <c r="B3" s="8" t="inlineStr">
        <is>
          <t>ORD002</t>
        </is>
      </c>
      <c r="C3" s="8" t="inlineStr">
        <is>
          <t>P004</t>
        </is>
      </c>
      <c r="D3" s="5" t="n">
        <v>3</v>
      </c>
      <c r="E3" s="5" t="n">
        <v>22000000</v>
      </c>
      <c r="F3" s="11" t="n">
        <v>0</v>
      </c>
      <c r="G3" s="10">
        <f>D3*E3*(1-F3)</f>
        <v/>
      </c>
    </row>
    <row r="4">
      <c r="A4" s="2" t="inlineStr">
        <is>
          <t>D003</t>
        </is>
      </c>
      <c r="B4" s="8" t="inlineStr">
        <is>
          <t>ORD003</t>
        </is>
      </c>
      <c r="C4" s="8" t="inlineStr">
        <is>
          <t>P002</t>
        </is>
      </c>
      <c r="D4" s="4" t="n">
        <v>1</v>
      </c>
      <c r="E4" s="4" t="n">
        <v>32000000</v>
      </c>
      <c r="F4" s="9" t="n">
        <v>0.1</v>
      </c>
      <c r="G4" s="10">
        <f>D4*E4*(1-F4)</f>
        <v/>
      </c>
    </row>
    <row r="5">
      <c r="A5" s="3" t="inlineStr">
        <is>
          <t>D004</t>
        </is>
      </c>
      <c r="B5" s="8" t="inlineStr">
        <is>
          <t>ORD004</t>
        </is>
      </c>
      <c r="C5" s="8" t="inlineStr">
        <is>
          <t>P008</t>
        </is>
      </c>
      <c r="D5" s="5" t="n">
        <v>5</v>
      </c>
      <c r="E5" s="5" t="n">
        <v>1200000</v>
      </c>
      <c r="F5" s="11" t="n">
        <v>0</v>
      </c>
      <c r="G5" s="10">
        <f>D5*E5*(1-F5)</f>
        <v/>
      </c>
    </row>
    <row r="6">
      <c r="A6" s="2" t="inlineStr">
        <is>
          <t>D005</t>
        </is>
      </c>
      <c r="B6" s="8" t="inlineStr">
        <is>
          <t>ORD005</t>
        </is>
      </c>
      <c r="C6" s="8" t="inlineStr">
        <is>
          <t>P006</t>
        </is>
      </c>
      <c r="D6" s="4" t="n">
        <v>2</v>
      </c>
      <c r="E6" s="4" t="n">
        <v>6500000</v>
      </c>
      <c r="F6" s="9" t="n">
        <v>0.05</v>
      </c>
      <c r="G6" s="10">
        <f>D6*E6*(1-F6)</f>
        <v/>
      </c>
    </row>
    <row r="7">
      <c r="A7" s="3" t="inlineStr">
        <is>
          <t>D006</t>
        </is>
      </c>
      <c r="B7" s="8" t="inlineStr">
        <is>
          <t>ORD006</t>
        </is>
      </c>
      <c r="C7" s="8" t="inlineStr">
        <is>
          <t>P001</t>
        </is>
      </c>
      <c r="D7" s="5" t="n">
        <v>4</v>
      </c>
      <c r="E7" s="5" t="n">
        <v>18500000</v>
      </c>
      <c r="F7" s="11" t="n">
        <v>0.1</v>
      </c>
      <c r="G7" s="10">
        <f>D7*E7*(1-F7)</f>
        <v/>
      </c>
    </row>
    <row r="8">
      <c r="A8" s="2" t="inlineStr">
        <is>
          <t>D007</t>
        </is>
      </c>
      <c r="B8" s="8" t="inlineStr">
        <is>
          <t>ORD007</t>
        </is>
      </c>
      <c r="C8" s="8" t="inlineStr">
        <is>
          <t>P005</t>
        </is>
      </c>
      <c r="D8" s="4" t="n">
        <v>2</v>
      </c>
      <c r="E8" s="4" t="n">
        <v>18000000</v>
      </c>
      <c r="F8" s="9" t="n">
        <v>0</v>
      </c>
      <c r="G8" s="10">
        <f>D8*E8*(1-F8)</f>
        <v/>
      </c>
    </row>
    <row r="9">
      <c r="A9" s="3" t="inlineStr">
        <is>
          <t>D008</t>
        </is>
      </c>
      <c r="B9" s="8" t="inlineStr">
        <is>
          <t>ORD008</t>
        </is>
      </c>
      <c r="C9" s="8" t="inlineStr">
        <is>
          <t>P010</t>
        </is>
      </c>
      <c r="D9" s="5" t="n">
        <v>3</v>
      </c>
      <c r="E9" s="5" t="n">
        <v>2500000</v>
      </c>
      <c r="F9" s="11" t="n">
        <v>0.05</v>
      </c>
      <c r="G9" s="10">
        <f>D9*E9*(1-F9)</f>
        <v/>
      </c>
    </row>
    <row r="10">
      <c r="A10" s="2" t="inlineStr">
        <is>
          <t>D009</t>
        </is>
      </c>
      <c r="B10" s="8" t="inlineStr">
        <is>
          <t>ORD009</t>
        </is>
      </c>
      <c r="C10" s="8" t="inlineStr">
        <is>
          <t>P002</t>
        </is>
      </c>
      <c r="D10" s="4" t="n">
        <v>2</v>
      </c>
      <c r="E10" s="4" t="n">
        <v>32000000</v>
      </c>
      <c r="F10" s="9" t="n">
        <v>0.15</v>
      </c>
      <c r="G10" s="10">
        <f>D10*E10*(1-F10)</f>
        <v/>
      </c>
    </row>
    <row r="11">
      <c r="A11" s="3" t="inlineStr">
        <is>
          <t>D010</t>
        </is>
      </c>
      <c r="B11" s="8" t="inlineStr">
        <is>
          <t>ORD010</t>
        </is>
      </c>
      <c r="C11" s="8" t="inlineStr">
        <is>
          <t>P007</t>
        </is>
      </c>
      <c r="D11" s="5" t="n">
        <v>1</v>
      </c>
      <c r="E11" s="5" t="n">
        <v>4800000</v>
      </c>
      <c r="F11" s="11" t="n">
        <v>0</v>
      </c>
      <c r="G11" s="10">
        <f>D11*E11*(1-F11)</f>
        <v/>
      </c>
    </row>
    <row r="12">
      <c r="A12" s="2" t="inlineStr">
        <is>
          <t>D011</t>
        </is>
      </c>
      <c r="B12" s="8" t="inlineStr">
        <is>
          <t>ORD011</t>
        </is>
      </c>
      <c r="C12" s="8" t="inlineStr">
        <is>
          <t>P004</t>
        </is>
      </c>
      <c r="D12" s="4" t="n">
        <v>1</v>
      </c>
      <c r="E12" s="4" t="n">
        <v>22000000</v>
      </c>
      <c r="F12" s="9" t="n">
        <v>0</v>
      </c>
      <c r="G12" s="10">
        <f>D12*E12*(1-F12)</f>
        <v/>
      </c>
    </row>
    <row r="13">
      <c r="A13" s="3" t="inlineStr">
        <is>
          <t>D012</t>
        </is>
      </c>
      <c r="B13" s="8" t="inlineStr">
        <is>
          <t>ORD012</t>
        </is>
      </c>
      <c r="C13" s="8" t="inlineStr">
        <is>
          <t>P009</t>
        </is>
      </c>
      <c r="D13" s="5" t="n">
        <v>10</v>
      </c>
      <c r="E13" s="5" t="n">
        <v>850000</v>
      </c>
      <c r="F13" s="11" t="n">
        <v>0</v>
      </c>
      <c r="G13" s="10">
        <f>D13*E13*(1-F13)</f>
        <v/>
      </c>
    </row>
    <row r="14">
      <c r="A14" s="2" t="inlineStr">
        <is>
          <t>D013</t>
        </is>
      </c>
      <c r="B14" s="8" t="inlineStr">
        <is>
          <t>ORD013</t>
        </is>
      </c>
      <c r="C14" s="8" t="inlineStr">
        <is>
          <t>P003</t>
        </is>
      </c>
      <c r="D14" s="4" t="n">
        <v>3</v>
      </c>
      <c r="E14" s="4" t="n">
        <v>14000000</v>
      </c>
      <c r="F14" s="9" t="n">
        <v>0.05</v>
      </c>
      <c r="G14" s="10">
        <f>D14*E14*(1-F14)</f>
        <v/>
      </c>
    </row>
    <row r="15">
      <c r="A15" s="3" t="inlineStr">
        <is>
          <t>D014</t>
        </is>
      </c>
      <c r="B15" s="8" t="inlineStr">
        <is>
          <t>ORD013</t>
        </is>
      </c>
      <c r="C15" s="8" t="inlineStr">
        <is>
          <t>P011</t>
        </is>
      </c>
      <c r="D15" s="5" t="n">
        <v>5</v>
      </c>
      <c r="E15" s="5" t="n">
        <v>650000</v>
      </c>
      <c r="F15" s="11" t="n">
        <v>0</v>
      </c>
      <c r="G15" s="10">
        <f>D15*E15*(1-F15)</f>
        <v/>
      </c>
    </row>
    <row r="16">
      <c r="A16" s="2" t="inlineStr">
        <is>
          <t>D015</t>
        </is>
      </c>
      <c r="B16" s="8" t="inlineStr">
        <is>
          <t>ORD014</t>
        </is>
      </c>
      <c r="C16" s="8" t="inlineStr">
        <is>
          <t>P006</t>
        </is>
      </c>
      <c r="D16" s="4" t="n">
        <v>4</v>
      </c>
      <c r="E16" s="4" t="n">
        <v>6500000</v>
      </c>
      <c r="F16" s="9" t="n">
        <v>0.1</v>
      </c>
      <c r="G16" s="10">
        <f>D16*E16*(1-F16)</f>
        <v/>
      </c>
    </row>
    <row r="17">
      <c r="A17" s="3" t="inlineStr">
        <is>
          <t>D016</t>
        </is>
      </c>
      <c r="B17" s="8" t="inlineStr">
        <is>
          <t>ORD015</t>
        </is>
      </c>
      <c r="C17" s="8" t="inlineStr">
        <is>
          <t>P005</t>
        </is>
      </c>
      <c r="D17" s="5" t="n">
        <v>2</v>
      </c>
      <c r="E17" s="5" t="n">
        <v>18000000</v>
      </c>
      <c r="F17" s="11" t="n">
        <v>0.05</v>
      </c>
      <c r="G17" s="10">
        <f>D17*E17*(1-F17)</f>
        <v/>
      </c>
    </row>
    <row r="18">
      <c r="A18" s="2" t="inlineStr">
        <is>
          <t>D017</t>
        </is>
      </c>
      <c r="B18" s="8" t="inlineStr">
        <is>
          <t>ORD016</t>
        </is>
      </c>
      <c r="C18" s="8" t="inlineStr">
        <is>
          <t>P002</t>
        </is>
      </c>
      <c r="D18" s="4" t="n">
        <v>1</v>
      </c>
      <c r="E18" s="4" t="n">
        <v>32000000</v>
      </c>
      <c r="F18" s="9" t="n">
        <v>0</v>
      </c>
      <c r="G18" s="10">
        <f>D18*E18*(1-F18)</f>
        <v/>
      </c>
    </row>
    <row r="19">
      <c r="A19" s="3" t="inlineStr">
        <is>
          <t>D018</t>
        </is>
      </c>
      <c r="B19" s="8" t="inlineStr">
        <is>
          <t>ORD017</t>
        </is>
      </c>
      <c r="C19" s="8" t="inlineStr">
        <is>
          <t>P008</t>
        </is>
      </c>
      <c r="D19" s="5" t="n">
        <v>3</v>
      </c>
      <c r="E19" s="5" t="n">
        <v>1200000</v>
      </c>
      <c r="F19" s="11" t="n">
        <v>0</v>
      </c>
      <c r="G19" s="10">
        <f>D19*E19*(1-F19)</f>
        <v/>
      </c>
    </row>
    <row r="20">
      <c r="A20" s="2" t="inlineStr">
        <is>
          <t>D019</t>
        </is>
      </c>
      <c r="B20" s="8" t="inlineStr">
        <is>
          <t>ORD018</t>
        </is>
      </c>
      <c r="C20" s="8" t="inlineStr">
        <is>
          <t>P007</t>
        </is>
      </c>
      <c r="D20" s="4" t="n">
        <v>2</v>
      </c>
      <c r="E20" s="4" t="n">
        <v>4800000</v>
      </c>
      <c r="F20" s="9" t="n">
        <v>0.05</v>
      </c>
      <c r="G20" s="10">
        <f>D20*E20*(1-F20)</f>
        <v/>
      </c>
    </row>
    <row r="21">
      <c r="A21" s="3" t="inlineStr">
        <is>
          <t>D020</t>
        </is>
      </c>
      <c r="B21" s="8" t="inlineStr">
        <is>
          <t>ORD019</t>
        </is>
      </c>
      <c r="C21" s="8" t="inlineStr">
        <is>
          <t>P001</t>
        </is>
      </c>
      <c r="D21" s="5" t="n">
        <v>2</v>
      </c>
      <c r="E21" s="5" t="n">
        <v>18500000</v>
      </c>
      <c r="F21" s="11" t="n">
        <v>0.1</v>
      </c>
      <c r="G21" s="10">
        <f>D21*E21*(1-F21)</f>
        <v/>
      </c>
    </row>
    <row r="22">
      <c r="A22" s="2" t="inlineStr">
        <is>
          <t>D021</t>
        </is>
      </c>
      <c r="B22" s="8" t="inlineStr">
        <is>
          <t>ORD020</t>
        </is>
      </c>
      <c r="C22" s="8" t="inlineStr">
        <is>
          <t>P004</t>
        </is>
      </c>
      <c r="D22" s="4" t="n">
        <v>4</v>
      </c>
      <c r="E22" s="4" t="n">
        <v>22000000</v>
      </c>
      <c r="F22" s="9" t="n">
        <v>0.05</v>
      </c>
      <c r="G22" s="10">
        <f>D22*E22*(1-F22)</f>
        <v/>
      </c>
    </row>
    <row r="23">
      <c r="A23" s="3" t="inlineStr">
        <is>
          <t>D022</t>
        </is>
      </c>
      <c r="B23" s="8" t="inlineStr">
        <is>
          <t>ORD021</t>
        </is>
      </c>
      <c r="C23" s="8" t="inlineStr">
        <is>
          <t>P003</t>
        </is>
      </c>
      <c r="D23" s="5" t="n">
        <v>2</v>
      </c>
      <c r="E23" s="5" t="n">
        <v>14000000</v>
      </c>
      <c r="F23" s="11" t="n">
        <v>0</v>
      </c>
      <c r="G23" s="10">
        <f>D23*E23*(1-F23)</f>
        <v/>
      </c>
    </row>
    <row r="24">
      <c r="A24" s="2" t="inlineStr">
        <is>
          <t>D023</t>
        </is>
      </c>
      <c r="B24" s="8" t="inlineStr">
        <is>
          <t>ORD022</t>
        </is>
      </c>
      <c r="C24" s="8" t="inlineStr">
        <is>
          <t>P010</t>
        </is>
      </c>
      <c r="D24" s="4" t="n">
        <v>5</v>
      </c>
      <c r="E24" s="4" t="n">
        <v>2500000</v>
      </c>
      <c r="F24" s="9" t="n">
        <v>0.1</v>
      </c>
      <c r="G24" s="10">
        <f>D24*E24*(1-F24)</f>
        <v/>
      </c>
    </row>
    <row r="25">
      <c r="A25" s="3" t="inlineStr">
        <is>
          <t>D024</t>
        </is>
      </c>
      <c r="B25" s="8" t="inlineStr">
        <is>
          <t>ORD023</t>
        </is>
      </c>
      <c r="C25" s="8" t="inlineStr">
        <is>
          <t>P006</t>
        </is>
      </c>
      <c r="D25" s="5" t="n">
        <v>3</v>
      </c>
      <c r="E25" s="5" t="n">
        <v>6500000</v>
      </c>
      <c r="F25" s="11" t="n">
        <v>0.05</v>
      </c>
      <c r="G25" s="10">
        <f>D25*E25*(1-F25)</f>
        <v/>
      </c>
    </row>
    <row r="26">
      <c r="A26" s="2" t="inlineStr">
        <is>
          <t>D025</t>
        </is>
      </c>
      <c r="B26" s="8" t="inlineStr">
        <is>
          <t>ORD024</t>
        </is>
      </c>
      <c r="C26" s="8" t="inlineStr">
        <is>
          <t>P005</t>
        </is>
      </c>
      <c r="D26" s="4" t="n">
        <v>1</v>
      </c>
      <c r="E26" s="4" t="n">
        <v>18000000</v>
      </c>
      <c r="F26" s="9" t="n">
        <v>0</v>
      </c>
      <c r="G26" s="10">
        <f>D26*E26*(1-F26)</f>
        <v/>
      </c>
    </row>
    <row r="27">
      <c r="A27" s="3" t="inlineStr">
        <is>
          <t>D026</t>
        </is>
      </c>
      <c r="B27" s="8" t="inlineStr">
        <is>
          <t>ORD025</t>
        </is>
      </c>
      <c r="C27" s="8" t="inlineStr">
        <is>
          <t>P002</t>
        </is>
      </c>
      <c r="D27" s="5" t="n">
        <v>1</v>
      </c>
      <c r="E27" s="5" t="n">
        <v>32000000</v>
      </c>
      <c r="F27" s="11" t="n">
        <v>0.05</v>
      </c>
      <c r="G27" s="10">
        <f>D27*E27*(1-F27)</f>
        <v/>
      </c>
    </row>
    <row r="28">
      <c r="A28" s="2" t="inlineStr">
        <is>
          <t>D027</t>
        </is>
      </c>
      <c r="B28" s="8" t="inlineStr">
        <is>
          <t>ORD026</t>
        </is>
      </c>
      <c r="C28" s="8" t="inlineStr">
        <is>
          <t>P009</t>
        </is>
      </c>
      <c r="D28" s="4" t="n">
        <v>8</v>
      </c>
      <c r="E28" s="4" t="n">
        <v>850000</v>
      </c>
      <c r="F28" s="9" t="n">
        <v>0</v>
      </c>
      <c r="G28" s="10">
        <f>D28*E28*(1-F28)</f>
        <v/>
      </c>
    </row>
    <row r="29">
      <c r="A29" s="3" t="inlineStr">
        <is>
          <t>D028</t>
        </is>
      </c>
      <c r="B29" s="8" t="inlineStr">
        <is>
          <t>ORD027</t>
        </is>
      </c>
      <c r="C29" s="8" t="inlineStr">
        <is>
          <t>P001</t>
        </is>
      </c>
      <c r="D29" s="5" t="n">
        <v>5</v>
      </c>
      <c r="E29" s="5" t="n">
        <v>18500000</v>
      </c>
      <c r="F29" s="11" t="n">
        <v>0.15</v>
      </c>
      <c r="G29" s="10">
        <f>D29*E29*(1-F29)</f>
        <v/>
      </c>
    </row>
    <row r="30">
      <c r="A30" s="2" t="inlineStr">
        <is>
          <t>D029</t>
        </is>
      </c>
      <c r="B30" s="8" t="inlineStr">
        <is>
          <t>ORD027</t>
        </is>
      </c>
      <c r="C30" s="8" t="inlineStr">
        <is>
          <t>P009</t>
        </is>
      </c>
      <c r="D30" s="4" t="n">
        <v>6</v>
      </c>
      <c r="E30" s="4" t="n">
        <v>850000</v>
      </c>
      <c r="F30" s="9" t="n">
        <v>0</v>
      </c>
      <c r="G30" s="10">
        <f>D30*E30*(1-F30)</f>
        <v/>
      </c>
    </row>
    <row r="31">
      <c r="A31" s="3" t="inlineStr">
        <is>
          <t>D030</t>
        </is>
      </c>
      <c r="B31" s="8" t="inlineStr">
        <is>
          <t>ORD028</t>
        </is>
      </c>
      <c r="C31" s="8" t="inlineStr">
        <is>
          <t>P007</t>
        </is>
      </c>
      <c r="D31" s="5" t="n">
        <v>1</v>
      </c>
      <c r="E31" s="5" t="n">
        <v>4800000</v>
      </c>
      <c r="F31" s="11" t="n">
        <v>0</v>
      </c>
      <c r="G31" s="10">
        <f>D31*E31*(1-F31)</f>
        <v/>
      </c>
    </row>
    <row r="32">
      <c r="A32" s="2" t="inlineStr">
        <is>
          <t>D031</t>
        </is>
      </c>
      <c r="B32" s="8" t="inlineStr">
        <is>
          <t>ORD029</t>
        </is>
      </c>
      <c r="C32" s="8" t="inlineStr">
        <is>
          <t>P004</t>
        </is>
      </c>
      <c r="D32" s="4" t="n">
        <v>2</v>
      </c>
      <c r="E32" s="4" t="n">
        <v>22000000</v>
      </c>
      <c r="F32" s="9" t="n">
        <v>0.05</v>
      </c>
      <c r="G32" s="10">
        <f>D32*E32*(1-F32)</f>
        <v/>
      </c>
    </row>
    <row r="33">
      <c r="A33" s="3" t="inlineStr">
        <is>
          <t>D032</t>
        </is>
      </c>
      <c r="B33" s="8" t="inlineStr">
        <is>
          <t>ORD030</t>
        </is>
      </c>
      <c r="C33" s="8" t="inlineStr">
        <is>
          <t>P003</t>
        </is>
      </c>
      <c r="D33" s="5" t="n">
        <v>1</v>
      </c>
      <c r="E33" s="5" t="n">
        <v>14000000</v>
      </c>
      <c r="F33" s="11" t="n">
        <v>0</v>
      </c>
      <c r="G33" s="10">
        <f>D33*E33*(1-F33)</f>
        <v/>
      </c>
    </row>
  </sheetData>
  <autoFilter ref="A1:G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 ht="30" customHeight="1">
      <c r="A1" s="12" t="inlineStr">
        <is>
          <t>📊 TỔNG HỢP KINH DOANH — 2024</t>
        </is>
      </c>
    </row>
    <row r="2" ht="18" customHeight="1">
      <c r="A2" s="13" t="inlineStr">
        <is>
          <t>Tổng đơn hàng</t>
        </is>
      </c>
      <c r="B2" s="13" t="inlineStr">
        <is>
          <t>Tổng doanh thu</t>
        </is>
      </c>
      <c r="C2" s="13" t="inlineStr">
        <is>
          <t>Trung bình/đơn</t>
        </is>
      </c>
      <c r="D2" s="13" t="inlineStr">
        <is>
          <t>Tổng SP bán ra</t>
        </is>
      </c>
    </row>
    <row r="3" ht="18" customHeight="1"/>
    <row r="4" ht="22" customHeight="1">
      <c r="A4" s="14">
        <f>COUNTA(orders!A2:A1000)-1</f>
        <v/>
      </c>
      <c r="B4" s="14">
        <f>SUMIF(order_details!G2:G1000,"&gt;0",order_details!G2:G1000)</f>
        <v/>
      </c>
      <c r="C4" s="14">
        <f>IF(A4&gt;0,B4/A4,0)</f>
        <v/>
      </c>
      <c r="D4" s="14">
        <f>SUM(order_details!D2:D1000)</f>
        <v/>
      </c>
    </row>
    <row r="5" ht="18" customHeight="1"/>
    <row r="6" ht="18" customHeight="1">
      <c r="A6" s="15" t="inlineStr">
        <is>
          <t>Rep</t>
        </is>
      </c>
      <c r="B6" s="15" t="inlineStr">
        <is>
          <t>Khu vực</t>
        </is>
      </c>
      <c r="C6" s="15" t="inlineStr">
        <is>
          <t>Số đơn</t>
        </is>
      </c>
      <c r="D6" s="15" t="inlineStr">
        <is>
          <t>Doanh thu</t>
        </is>
      </c>
      <c r="E6" s="15" t="inlineStr">
        <is>
          <t>% Tổng</t>
        </is>
      </c>
    </row>
    <row r="7">
      <c r="A7" s="16" t="inlineStr">
        <is>
          <t>Trần Minh</t>
        </is>
      </c>
      <c r="B7" s="16" t="inlineStr">
        <is>
          <t>Hà Nội</t>
        </is>
      </c>
      <c r="C7" s="17">
        <f>COUNTIF(orders!D2:D1000,"R001")</f>
        <v/>
      </c>
      <c r="D7" s="17">
        <f>SUMPRODUCT((orders!D2:D100="R001")*(IFERROR(VLOOKUP(orders!A2:A100,order_details!B2:G1000,6,0),0)))</f>
        <v/>
      </c>
      <c r="E7" s="18">
        <f>IF($B$4&gt;0,D7/$B$4,0)</f>
        <v/>
      </c>
    </row>
    <row r="8">
      <c r="A8" s="19" t="inlineStr">
        <is>
          <t>Phạm Hoa</t>
        </is>
      </c>
      <c r="B8" s="19" t="inlineStr">
        <is>
          <t>TP.HCM</t>
        </is>
      </c>
      <c r="C8" s="20">
        <f>COUNTIF(orders!D2:D1000,"R002")</f>
        <v/>
      </c>
      <c r="D8" s="20">
        <f>SUMPRODUCT((orders!D2:D100="R002")*(IFERROR(VLOOKUP(orders!A2:A100,order_details!B2:G1000,6,0),0)))</f>
        <v/>
      </c>
      <c r="E8" s="21">
        <f>IF($B$4&gt;0,D8/$B$4,0)</f>
        <v/>
      </c>
    </row>
    <row r="9">
      <c r="A9" s="16" t="inlineStr">
        <is>
          <t>Nguyễn Lân</t>
        </is>
      </c>
      <c r="B9" s="16" t="inlineStr">
        <is>
          <t>Đà Nẵng</t>
        </is>
      </c>
      <c r="C9" s="17">
        <f>COUNTIF(orders!D2:D1000,"R003")</f>
        <v/>
      </c>
      <c r="D9" s="17">
        <f>SUMPRODUCT((orders!D2:D100="R003")*(IFERROR(VLOOKUP(orders!A2:A100,order_details!B2:G1000,6,0),0)))</f>
        <v/>
      </c>
      <c r="E9" s="18">
        <f>IF($B$4&gt;0,D9/$B$4,0)</f>
        <v/>
      </c>
    </row>
    <row r="10">
      <c r="A10" s="19" t="inlineStr">
        <is>
          <t>Lê Quân</t>
        </is>
      </c>
      <c r="B10" s="19" t="inlineStr">
        <is>
          <t>Hải Phòng</t>
        </is>
      </c>
      <c r="C10" s="20">
        <f>COUNTIF(orders!D2:D1000,"R004")</f>
        <v/>
      </c>
      <c r="D10" s="20">
        <f>SUMPRODUCT((orders!D2:D100="R004")*(IFERROR(VLOOKUP(orders!A2:A100,order_details!B2:G1000,6,0),0)))</f>
        <v/>
      </c>
      <c r="E10" s="21">
        <f>IF($B$4&gt;0,D10/$B$4,0)</f>
        <v/>
      </c>
    </row>
    <row r="11" ht="18" customHeight="1"/>
    <row r="12" ht="18" customHeight="1">
      <c r="A12" s="22" t="inlineStr">
        <is>
          <t>Danh mục</t>
        </is>
      </c>
      <c r="B12" s="22" t="inlineStr">
        <is>
          <t>Số lượng bán</t>
        </is>
      </c>
      <c r="C12" s="22" t="inlineStr">
        <is>
          <t>Doanh thu</t>
        </is>
      </c>
      <c r="D12" s="22" t="inlineStr">
        <is>
          <t>Tỷ trọng</t>
        </is>
      </c>
    </row>
    <row r="13">
      <c r="A13" s="16" t="inlineStr">
        <is>
          <t>Laptop</t>
        </is>
      </c>
      <c r="B13" s="17">
        <f>SUMPRODUCT((ISNUMBER(MATCH(order_details!C2:C200,{"P001","P002","P003"},0)))*order_details!D2:D200)</f>
        <v/>
      </c>
      <c r="C13" s="17">
        <f>SUMPRODUCT((ISNUMBER(MATCH(order_details!C2:C200,{"P001","P002","P003"},0)))*order_details!G2:G200)</f>
        <v/>
      </c>
      <c r="D13" s="18">
        <f>IF($B$4&gt;0,C13/SUM(C13:C16),0)</f>
        <v/>
      </c>
    </row>
    <row r="14">
      <c r="A14" s="19" t="inlineStr">
        <is>
          <t>Điện thoại</t>
        </is>
      </c>
      <c r="B14" s="20">
        <f>SUMPRODUCT((ISNUMBER(MATCH(order_details!C2:C200,{"P004","P005"},0)))*order_details!D2:D200)</f>
        <v/>
      </c>
      <c r="C14" s="20">
        <f>SUMPRODUCT((ISNUMBER(MATCH(order_details!C2:C200,{"P004","P005"},0)))*order_details!G2:G200)</f>
        <v/>
      </c>
      <c r="D14" s="21">
        <f>IF($B$4&gt;0,C14/SUM(C13:C16),0)</f>
        <v/>
      </c>
    </row>
    <row r="15">
      <c r="A15" s="16" t="inlineStr">
        <is>
          <t>Màn hình</t>
        </is>
      </c>
      <c r="B15" s="17">
        <f>SUMPRODUCT((ISNUMBER(MATCH(order_details!C2:C200,{"P006","P007"},0)))*order_details!D2:D200)</f>
        <v/>
      </c>
      <c r="C15" s="17">
        <f>SUMPRODUCT((ISNUMBER(MATCH(order_details!C2:C200,{"P006","P007"},0)))*order_details!G2:G200)</f>
        <v/>
      </c>
      <c r="D15" s="18">
        <f>IF($B$4&gt;0,C15/SUM(C13:C16),0)</f>
        <v/>
      </c>
    </row>
    <row r="16">
      <c r="A16" s="19" t="inlineStr">
        <is>
          <t>Phụ kiện</t>
        </is>
      </c>
      <c r="B16" s="20">
        <f>SUMPRODUCT((ISNUMBER(MATCH(order_details!C2:C200,{"P008","P009","P010","P011","P012"},0)))*order_details!D2:D200)</f>
        <v/>
      </c>
      <c r="C16" s="20">
        <f>SUMPRODUCT((ISNUMBER(MATCH(order_details!C2:C200,{"P008","P009","P010","P011","P012"},0)))*order_details!G2:G200)</f>
        <v/>
      </c>
      <c r="D16" s="21">
        <f>IF($B$4&gt;0,C16/SUM(C13:C16),0)</f>
        <v/>
      </c>
    </row>
  </sheetData>
  <mergeCells count="5">
    <mergeCell ref="A1:D1"/>
    <mergeCell ref="D2:D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2026-05-14T07:03:26Z</dcterms:created>
  <dcterms:modified xmlns:dcterms="http://purl.org/dc/terms/" xmlns:xsi="http://www.w3.org/2001/XMLSchema-instance" xsi:type="dcterms:W3CDTF">2026-05-14T07:03:26Z</dcterms:modified>
</cp:coreProperties>
</file>